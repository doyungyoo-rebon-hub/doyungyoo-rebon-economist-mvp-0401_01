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c0a0bff7739f51b/Economist/2026 이코노미스트/금융부 관련/AI가 뽑은 2025 애널리스트/2026 준비/리서치센터 미팅/"/>
    </mc:Choice>
  </mc:AlternateContent>
  <xr:revisionPtr revIDLastSave="134" documentId="11_9C82EB0DB7C23F62ED1DD0F75E72A63AC685D823" xr6:coauthVersionLast="47" xr6:coauthVersionMax="47" xr10:uidLastSave="{66406B22-FFC8-48FE-B972-06FAE9EB8649}"/>
  <bookViews>
    <workbookView xWindow="28680" yWindow="-120" windowWidth="29040" windowHeight="15720" tabRatio="500" xr2:uid="{00000000-000D-0000-FFFF-FFFF00000000}"/>
  </bookViews>
  <sheets>
    <sheet name="미팅 현황" sheetId="1" r:id="rId1"/>
  </sheets>
  <definedNames>
    <definedName name="_xlnm._FilterDatabase" localSheetId="0" hidden="1">'미팅 현황'!$A$3:$L$32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7" i="1"/>
  <c r="B36" i="1"/>
  <c r="B35" i="1"/>
</calcChain>
</file>

<file path=xl/sharedStrings.xml><?xml version="1.0" encoding="utf-8"?>
<sst xmlns="http://schemas.openxmlformats.org/spreadsheetml/2006/main" count="287" uniqueCount="189">
  <si>
    <t>리서치센터 미팅 현황표 — 제2회 AI 애널리스트 어워즈</t>
  </si>
  <si>
    <t>기준일: 2026년 5월 28일 | 대상: 29개 증권사 리서치센터</t>
  </si>
  <si>
    <t>No.</t>
  </si>
  <si>
    <t>증권사</t>
  </si>
  <si>
    <t>담당자</t>
  </si>
  <si>
    <t>직함/직책</t>
  </si>
  <si>
    <t>연락처</t>
  </si>
  <si>
    <t>이메일</t>
  </si>
  <si>
    <t>미팅 여부</t>
  </si>
  <si>
    <t>미팅 일자</t>
  </si>
  <si>
    <t>리포트
제공</t>
  </si>
  <si>
    <t>계약서
작성</t>
  </si>
  <si>
    <t>계약서 완료 여부</t>
  </si>
  <si>
    <t>비고</t>
  </si>
  <si>
    <t>미래에셋증권</t>
  </si>
  <si>
    <t>권영배</t>
  </si>
  <si>
    <t>AI하이테크분석팀 팀장(이사대우) CFA</t>
  </si>
  <si>
    <t>010-2354-5251</t>
  </si>
  <si>
    <t>yb.kwon@miraeasset.com</t>
  </si>
  <si>
    <t>O</t>
  </si>
  <si>
    <t>필요</t>
  </si>
  <si>
    <t>完</t>
    <phoneticPr fontId="11" type="noConversion"/>
  </si>
  <si>
    <t>강한성 실장, 계약서 보냄 / 계약서 법인 인감 날인 준비 중</t>
  </si>
  <si>
    <t>NH투자증권</t>
  </si>
  <si>
    <t>박경환</t>
  </si>
  <si>
    <t>리서치본부 리서치지원팀 팀장(부부장)</t>
  </si>
  <si>
    <t>010-3478-7835</t>
  </si>
  <si>
    <t>proguru@nhsec.com</t>
  </si>
  <si>
    <t>김병수 실장, 계약서 보냄, 이메일 등록함(fin@edailym1.com)</t>
    <phoneticPr fontId="11" type="noConversion"/>
  </si>
  <si>
    <t>하나증권</t>
  </si>
  <si>
    <t>김의곤</t>
  </si>
  <si>
    <t>글로벌투자분석실 부장</t>
  </si>
  <si>
    <t>010-4055-4392</t>
  </si>
  <si>
    <t>euigon@hanafn.com</t>
  </si>
  <si>
    <t>필요</t>
    <phoneticPr fontId="11" type="noConversion"/>
  </si>
  <si>
    <t>백창훈 상무가 리서치센터장과 이야기해서 진행이상수 차장, 김의곤 부장(0602 메일 통해서 거절 회신)</t>
    <phoneticPr fontId="11" type="noConversion"/>
  </si>
  <si>
    <t>IBK투자증권</t>
  </si>
  <si>
    <t xml:space="preserve">김연수 </t>
  </si>
  <si>
    <t>리서치본부 과장</t>
  </si>
  <si>
    <t>010-2543-0627</t>
  </si>
  <si>
    <t>yshaha@ibks.com</t>
  </si>
  <si>
    <t>6.08 15:00</t>
  </si>
  <si>
    <t>X</t>
  </si>
  <si>
    <t>-</t>
  </si>
  <si>
    <t>미팅 일정 조율 중(최혁순 홍보팀장), 이용우 기자 배석</t>
  </si>
  <si>
    <t>대신증권</t>
  </si>
  <si>
    <t>양지환</t>
  </si>
  <si>
    <t>리서치센터장(배우 양정아 오빠)</t>
  </si>
  <si>
    <t>대체 리서치센터기획팀장</t>
    <phoneticPr fontId="11" type="noConversion"/>
  </si>
  <si>
    <t>김유진 기업리서치부 팀장</t>
    <phoneticPr fontId="11" type="noConversion"/>
  </si>
  <si>
    <t>△</t>
  </si>
  <si>
    <t>7.6 15:30</t>
    <phoneticPr fontId="11" type="noConversion"/>
  </si>
  <si>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강준범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실장</t>
    </r>
    <r>
      <rPr>
        <sz val="9"/>
        <rFont val="Arial"/>
        <family val="2"/>
      </rPr>
      <t xml:space="preserve">), </t>
    </r>
    <r>
      <rPr>
        <sz val="9"/>
        <rFont val="맑은 고딕"/>
        <family val="3"/>
        <charset val="129"/>
      </rPr>
      <t>센터장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대답</t>
    </r>
    <r>
      <rPr>
        <sz val="9"/>
        <rFont val="Arial"/>
        <family val="2"/>
      </rPr>
      <t xml:space="preserve"> 6</t>
    </r>
    <r>
      <rPr>
        <sz val="9"/>
        <rFont val="맑은 고딕"/>
        <family val="3"/>
        <charset val="129"/>
      </rPr>
      <t>월</t>
    </r>
    <r>
      <rPr>
        <sz val="9"/>
        <rFont val="Arial"/>
        <family val="2"/>
      </rPr>
      <t xml:space="preserve"> 8</t>
    </r>
    <r>
      <rPr>
        <sz val="9"/>
        <rFont val="맑은 고딕"/>
        <family val="3"/>
        <charset val="129"/>
      </rPr>
      <t>일</t>
    </r>
    <phoneticPr fontId="11" type="noConversion"/>
  </si>
  <si>
    <t>LS증권</t>
  </si>
  <si>
    <t>리서치센터장</t>
  </si>
  <si>
    <t>010-3447-4020</t>
  </si>
  <si>
    <t>jh.shin@ls-sec.co.kr</t>
  </si>
  <si>
    <t>6.10 14:00</t>
  </si>
  <si>
    <r>
      <rPr>
        <sz val="9"/>
        <rFont val="맑은 고딕"/>
        <family val="3"/>
        <charset val="129"/>
      </rPr>
      <t>계약서 다시 보냄. 0630, 이응창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팀장</t>
    </r>
    <r>
      <rPr>
        <sz val="9"/>
        <rFont val="Arial"/>
        <family val="2"/>
      </rPr>
      <t xml:space="preserve">, </t>
    </r>
    <r>
      <rPr>
        <sz val="9"/>
        <rFont val="맑은 고딕"/>
        <family val="3"/>
        <charset val="129"/>
      </rPr>
      <t>계약서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발송</t>
    </r>
    <r>
      <rPr>
        <sz val="9"/>
        <rFont val="DejaVu Sans"/>
        <family val="3"/>
        <charset val="129"/>
      </rPr>
      <t xml:space="preserve">, 0630 </t>
    </r>
    <r>
      <rPr>
        <sz val="9"/>
        <rFont val="맑은 고딕"/>
        <family val="3"/>
        <charset val="129"/>
      </rPr>
      <t>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팀장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체크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중</t>
    </r>
    <phoneticPr fontId="11" type="noConversion"/>
  </si>
  <si>
    <t>KB증권</t>
  </si>
  <si>
    <t>BNK투자증권</t>
  </si>
  <si>
    <t xml:space="preserve">김성노 </t>
  </si>
  <si>
    <t>010-5787-7228</t>
  </si>
  <si>
    <t>ksn0909@bnkfn.co.kr</t>
  </si>
  <si>
    <t>6.17 10:30</t>
  </si>
  <si>
    <t>불필요</t>
  </si>
  <si>
    <t>이용우 기자 배석 이메일 전달(fin@edailym1.com)</t>
  </si>
  <si>
    <t>DB증권</t>
  </si>
  <si>
    <t xml:space="preserve">이병건 </t>
  </si>
  <si>
    <t>010-3399-7225</t>
  </si>
  <si>
    <t>pyrrhon72@dbsec.co.kr</t>
  </si>
  <si>
    <t>6.15 13:30</t>
  </si>
  <si>
    <r>
      <t>19</t>
    </r>
    <r>
      <rPr>
        <sz val="9"/>
        <rFont val="맑은 고딕"/>
        <family val="3"/>
        <charset val="129"/>
      </rPr>
      <t>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박준호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부장과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미팅</t>
    </r>
    <r>
      <rPr>
        <sz val="9"/>
        <rFont val="Arial"/>
        <family val="2"/>
      </rPr>
      <t xml:space="preserve">(with </t>
    </r>
    <r>
      <rPr>
        <sz val="9"/>
        <rFont val="맑은 고딕"/>
        <family val="3"/>
        <charset val="129"/>
      </rPr>
      <t>안민구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부장</t>
    </r>
    <r>
      <rPr>
        <sz val="9"/>
        <rFont val="Arial"/>
        <family val="2"/>
      </rPr>
      <t xml:space="preserve">), </t>
    </r>
    <r>
      <rPr>
        <sz val="9"/>
        <rFont val="맑은 고딕"/>
        <family val="2"/>
        <charset val="129"/>
      </rPr>
      <t>진행은 하지만, 10곳 이상이 사인을 한 후에 진행</t>
    </r>
    <r>
      <rPr>
        <sz val="9"/>
        <rFont val="맑은 고딕"/>
        <family val="3"/>
        <charset val="129"/>
      </rPr>
      <t>센터장에게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계약서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보냄</t>
    </r>
    <phoneticPr fontId="11" type="noConversion"/>
  </si>
  <si>
    <t>DS투자증권</t>
  </si>
  <si>
    <t>010-5095-9892</t>
  </si>
  <si>
    <t>seankim@ds-sec.co.kr</t>
    <phoneticPr fontId="11" type="noConversion"/>
  </si>
  <si>
    <t>06.23 15:30</t>
    <phoneticPr fontId="11" type="noConversion"/>
  </si>
  <si>
    <t xml:space="preserve">김수현 센터장이 고민 , 6월 30일 계약서 보냄 </t>
    <phoneticPr fontId="11" type="noConversion"/>
  </si>
  <si>
    <t>iM증권</t>
  </si>
  <si>
    <t>고태봉</t>
  </si>
  <si>
    <t>리서치본부장(전무)</t>
    <phoneticPr fontId="11" type="noConversion"/>
  </si>
  <si>
    <t>010-2513-3950</t>
    <phoneticPr fontId="11" type="noConversion"/>
  </si>
  <si>
    <t>coolbong@infnsec.com</t>
    <phoneticPr fontId="11" type="noConversion"/>
  </si>
  <si>
    <t>7.06 14:00</t>
    <phoneticPr fontId="11" type="noConversion"/>
  </si>
  <si>
    <t>이용우 기자 배석, 문찬준 부장(기업문화부) 010-8993-7111</t>
    <phoneticPr fontId="11" type="noConversion"/>
  </si>
  <si>
    <t>SK증권</t>
  </si>
  <si>
    <t xml:space="preserve">최도연 </t>
    <phoneticPr fontId="11" type="noConversion"/>
  </si>
  <si>
    <t>리서치센터장(상무)</t>
    <phoneticPr fontId="11" type="noConversion"/>
  </si>
  <si>
    <t>010-3280-8907</t>
    <phoneticPr fontId="11" type="noConversion"/>
  </si>
  <si>
    <t>7.13 15:00</t>
    <phoneticPr fontId="11" type="noConversion"/>
  </si>
  <si>
    <t>교보증권</t>
  </si>
  <si>
    <t>다올투자증권</t>
  </si>
  <si>
    <t>리딩투자증권</t>
  </si>
  <si>
    <t>메리츠증권</t>
  </si>
  <si>
    <t>이진우</t>
  </si>
  <si>
    <t>010-3686-0827</t>
  </si>
  <si>
    <t>jinwoo.lee@meritz.co.kr</t>
  </si>
  <si>
    <t>06.09 10:00</t>
  </si>
  <si>
    <t>계약서 체크 중, 계약서 보냄, 이연호 부장, 이도훈 차장010-6816-0815, 센터장미팅</t>
    <phoneticPr fontId="11" type="noConversion"/>
  </si>
  <si>
    <t>삼성증권</t>
  </si>
  <si>
    <t>.6.08 11:00</t>
  </si>
  <si>
    <t>조제영 상무, 유료 외에는 제공 불가</t>
  </si>
  <si>
    <t>신영증권</t>
  </si>
  <si>
    <t>김학균</t>
  </si>
  <si>
    <t>010-4757-7239</t>
  </si>
  <si>
    <t>kim.hak-kyun@shinyoung.com</t>
  </si>
  <si>
    <t>6.24 15:00</t>
  </si>
  <si>
    <t>김학균 센터장 긍정적임</t>
  </si>
  <si>
    <t>신한투자증권</t>
  </si>
  <si>
    <t>유안타증권</t>
  </si>
  <si>
    <t>유진투자증권</t>
  </si>
  <si>
    <t>이승우</t>
  </si>
  <si>
    <t>센터장</t>
  </si>
  <si>
    <t>010-5363-6591</t>
  </si>
  <si>
    <t>swlee6591@eugenefn.com</t>
  </si>
  <si>
    <t>06.15 15:00</t>
  </si>
  <si>
    <t>계약서 다시 보냄, 0630 전종윤 과장, 계약서 보냄, 진행함</t>
    <phoneticPr fontId="11" type="noConversion"/>
  </si>
  <si>
    <t>키움증권</t>
  </si>
  <si>
    <t xml:space="preserve">박근영 </t>
  </si>
  <si>
    <t>리서치지원팀장</t>
  </si>
  <si>
    <t>010-6279-2777</t>
  </si>
  <si>
    <t>kypark@kiwoom.com</t>
  </si>
  <si>
    <t>06.02 15:30</t>
  </si>
  <si>
    <t>이메일 등록함, 윤미영 과장(010-5318-2830)곽대현 이사, 계약서 보냄</t>
    <phoneticPr fontId="11" type="noConversion"/>
  </si>
  <si>
    <t>토스증권</t>
  </si>
  <si>
    <t>황승민 매니저, 계약서 보냄 / 계약서 법인 인감 날인 준비 중</t>
    <phoneticPr fontId="11" type="noConversion"/>
  </si>
  <si>
    <t>한국투자증권</t>
  </si>
  <si>
    <t>시간 걸릴 듯</t>
  </si>
  <si>
    <t xml:space="preserve">오승환 차장, 신동은 대리(6월 22일 미팅) </t>
  </si>
  <si>
    <t>한양증권</t>
  </si>
  <si>
    <t xml:space="preserve">김형주 </t>
  </si>
  <si>
    <t>홍보마케팅부 팀장</t>
  </si>
  <si>
    <t>010-5152-3560</t>
  </si>
  <si>
    <t>ryank@hygood.co.kr</t>
  </si>
  <si>
    <t>불 필요</t>
  </si>
  <si>
    <t>김형주 팀장 010-5152-3580, 애널리스트 2명</t>
  </si>
  <si>
    <t>한화투자증권</t>
  </si>
  <si>
    <t>박영훈</t>
  </si>
  <si>
    <t>010-6521-0716</t>
  </si>
  <si>
    <t>houn0715@hanwha.com</t>
  </si>
  <si>
    <t>06.08 16:30</t>
  </si>
  <si>
    <r>
      <t xml:space="preserve">계약서 보냄, 정완영 홍보파트장, </t>
    </r>
    <r>
      <rPr>
        <b/>
        <sz val="10"/>
        <rFont val="맑은 고딕"/>
        <family val="3"/>
        <charset val="129"/>
      </rPr>
      <t>계약서 등기로 옴</t>
    </r>
    <phoneticPr fontId="11" type="noConversion"/>
  </si>
  <si>
    <t>현대차증권</t>
  </si>
  <si>
    <t xml:space="preserve">박현욱 </t>
  </si>
  <si>
    <t>기업분석팀장(상무)</t>
  </si>
  <si>
    <t>010-3403-1438</t>
  </si>
  <si>
    <t>hwpark@hmsec.com</t>
  </si>
  <si>
    <t>06.10 10:00</t>
  </si>
  <si>
    <t>김진우 팀장(송현주 기자 배석), 공용 이메일 공유</t>
  </si>
  <si>
    <t>흥국증권</t>
  </si>
  <si>
    <t xml:space="preserve">황성진 </t>
  </si>
  <si>
    <t>010-3260-7288</t>
  </si>
  <si>
    <t>hsj@heungkuksec.co.kr</t>
  </si>
  <si>
    <t>06.17 14:00</t>
  </si>
  <si>
    <t>홍세화 기획팀 과장, 이메일 전달(fin@edailym1.com)</t>
  </si>
  <si>
    <t>진행 현황 요약</t>
  </si>
  <si>
    <t>미팅 완료</t>
  </si>
  <si>
    <t>일정 조율 중</t>
  </si>
  <si>
    <t>미접촉</t>
  </si>
  <si>
    <t>전체</t>
  </si>
  <si>
    <t>범례</t>
  </si>
  <si>
    <t>완료</t>
  </si>
  <si>
    <t>진행중(일정조율)</t>
  </si>
  <si>
    <t>미확인/해당없음</t>
  </si>
  <si>
    <t>doyeon0320@sks.co.kr</t>
    <phoneticPr fontId="11" type="noConversion"/>
  </si>
  <si>
    <t>필요</t>
    <phoneticPr fontId="11" type="noConversion"/>
  </si>
  <si>
    <t>홍종민 부장, 표준 계약서 송부</t>
    <phoneticPr fontId="11" type="noConversion"/>
  </si>
  <si>
    <t>상상인증권</t>
    <phoneticPr fontId="11" type="noConversion"/>
  </si>
  <si>
    <t>백영찬</t>
    <phoneticPr fontId="11" type="noConversion"/>
  </si>
  <si>
    <t>리서치센터장</t>
    <phoneticPr fontId="11" type="noConversion"/>
  </si>
  <si>
    <t>8.03 14:00</t>
    <phoneticPr fontId="11" type="noConversion"/>
  </si>
  <si>
    <t>김수영 상무</t>
    <phoneticPr fontId="11" type="noConversion"/>
  </si>
  <si>
    <t>完</t>
    <phoneticPr fontId="11" type="noConversion"/>
  </si>
  <si>
    <r>
      <rPr>
        <sz val="9"/>
        <rFont val="맑은 고딕"/>
        <family val="3"/>
        <charset val="129"/>
      </rPr>
      <t>신중호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상무</t>
    </r>
    <r>
      <rPr>
        <sz val="9"/>
        <rFont val="Arial"/>
        <family val="2"/>
      </rPr>
      <t xml:space="preserve"> </t>
    </r>
    <phoneticPr fontId="11" type="noConversion"/>
  </si>
  <si>
    <t xml:space="preserve">김수현 </t>
    <phoneticPr fontId="11" type="noConversion"/>
  </si>
  <si>
    <t>게약서 진행중</t>
    <phoneticPr fontId="11" type="noConversion"/>
  </si>
  <si>
    <t>계약서 진행 중</t>
    <phoneticPr fontId="11" type="noConversion"/>
  </si>
  <si>
    <t>진행 중</t>
    <phoneticPr fontId="11" type="noConversion"/>
  </si>
  <si>
    <r>
      <rPr>
        <sz val="9"/>
        <rFont val="맑은 고딕"/>
        <family val="3"/>
        <charset val="129"/>
      </rPr>
      <t>미팅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일정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조율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중</t>
    </r>
    <r>
      <rPr>
        <sz val="9"/>
        <rFont val="Arial"/>
        <family val="2"/>
      </rPr>
      <t>(</t>
    </r>
    <r>
      <rPr>
        <sz val="9"/>
        <rFont val="맑은 고딕"/>
        <family val="3"/>
        <charset val="129"/>
      </rPr>
      <t>최두희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이사</t>
    </r>
    <r>
      <rPr>
        <sz val="9"/>
        <rFont val="Arial"/>
        <family val="2"/>
      </rPr>
      <t>)</t>
    </r>
    <phoneticPr fontId="11" type="noConversion"/>
  </si>
  <si>
    <t>양갑영 실장</t>
    <phoneticPr fontId="11" type="noConversion"/>
  </si>
  <si>
    <t>010-4246-8475</t>
    <phoneticPr fontId="11" type="noConversion"/>
  </si>
  <si>
    <t>ycbaek@sangsanginib.com</t>
    <phoneticPr fontId="11" type="noConversion"/>
  </si>
  <si>
    <t>필요</t>
    <phoneticPr fontId="11" type="noConversion"/>
  </si>
  <si>
    <t>진행 중</t>
    <phoneticPr fontId="11" type="noConversion"/>
  </si>
  <si>
    <t xml:space="preserve">윤숭상 상무가 최광식 상무 통해서 진행함. 계약서는 필요없음. </t>
    <phoneticPr fontId="11" type="noConversion"/>
  </si>
  <si>
    <t>불 필요</t>
    <phoneticPr fontId="11" type="noConversion"/>
  </si>
  <si>
    <t>完</t>
    <phoneticPr fontId="11" type="noConversion"/>
  </si>
  <si>
    <t xml:space="preserve">김태완 부서장, </t>
    <phoneticPr fontId="11" type="noConversion"/>
  </si>
  <si>
    <t>8.21 15:00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</si>
</sst>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b/>
      <sz val="14"/>
      <color rgb="FFFFFFFF"/>
      <name val="DejaVu Sans"/>
      <family val="2"/>
    </font>
    <font>
      <sz val="10"/>
      <color rgb="FFFFFFFF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sz val="9"/>
      <name val="Arial"/>
      <family val="2"/>
    </font>
    <font>
      <b/>
      <sz val="9"/>
      <name val="DejaVu Sans"/>
      <family val="2"/>
    </font>
    <font>
      <sz val="9"/>
      <name val="DejaVu Sans"/>
      <family val="2"/>
    </font>
    <font>
      <sz val="9"/>
      <color rgb="FF1F3864"/>
      <name val="Arial"/>
      <family val="2"/>
    </font>
    <font>
      <b/>
      <sz val="9"/>
      <name val="Arial"/>
      <family val="2"/>
    </font>
    <font>
      <b/>
      <sz val="9"/>
      <color rgb="FFFFFFFF"/>
      <name val="DejaVu Sans"/>
      <family val="2"/>
    </font>
    <font>
      <sz val="8"/>
      <name val="돋움"/>
      <family val="3"/>
      <charset val="129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DejaVu Sans"/>
      <family val="3"/>
      <charset val="129"/>
    </font>
    <font>
      <b/>
      <sz val="9"/>
      <name val="Segoe UI Symbol"/>
      <family val="1"/>
    </font>
    <font>
      <u/>
      <sz val="11"/>
      <color theme="10"/>
      <name val="Calibri"/>
      <family val="2"/>
      <charset val="1"/>
    </font>
    <font>
      <b/>
      <sz val="10"/>
      <color rgb="FFFFFFFF"/>
      <name val="맑은 고딕"/>
      <family val="3"/>
      <charset val="129"/>
    </font>
    <font>
      <sz val="9"/>
      <name val="돋움"/>
      <family val="2"/>
      <charset val="129"/>
    </font>
    <font>
      <b/>
      <sz val="9"/>
      <name val="맑은 고딕"/>
      <family val="3"/>
      <charset val="129"/>
    </font>
    <font>
      <sz val="9"/>
      <name val="Arial"/>
      <family val="2"/>
      <charset val="129"/>
    </font>
    <font>
      <sz val="9"/>
      <name val="DejaVu Sans"/>
      <family val="2"/>
      <charset val="129"/>
    </font>
    <font>
      <sz val="9"/>
      <color rgb="FF1F3864"/>
      <name val="맑은 고딕"/>
      <family val="2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A79"/>
      </patternFill>
    </fill>
    <fill>
      <patternFill patternType="solid">
        <fgColor rgb="FF2E4A79"/>
        <bgColor rgb="FF1F3864"/>
      </patternFill>
    </fill>
    <fill>
      <patternFill patternType="solid">
        <fgColor rgb="FFFFFFFF"/>
        <bgColor rgb="FFF7FAFD"/>
      </patternFill>
    </fill>
    <fill>
      <patternFill patternType="solid">
        <fgColor rgb="FFC6EFCE"/>
        <bgColor rgb="FFE8F0FE"/>
      </patternFill>
    </fill>
    <fill>
      <patternFill patternType="solid">
        <fgColor rgb="FFF7FAFD"/>
        <bgColor rgb="FFFFFFFF"/>
      </patternFill>
    </fill>
    <fill>
      <patternFill patternType="solid">
        <fgColor rgb="FFFFFACD"/>
        <bgColor rgb="FFF2F2F2"/>
      </patternFill>
    </fill>
    <fill>
      <patternFill patternType="solid">
        <fgColor rgb="FFF2F2F2"/>
        <bgColor rgb="FFE8F0FE"/>
      </patternFill>
    </fill>
    <fill>
      <patternFill patternType="solid">
        <fgColor rgb="FFE8F0FE"/>
        <bgColor rgb="FFF2F2F2"/>
      </patternFill>
    </fill>
    <fill>
      <patternFill patternType="solid">
        <fgColor rgb="FFFFFF00"/>
        <bgColor rgb="FFF7FAFD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2F2F2"/>
      </patternFill>
    </fill>
    <fill>
      <patternFill patternType="solid">
        <fgColor theme="3" tint="0.79998168889431442"/>
        <bgColor rgb="FFFFFFFF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16" fillId="0" borderId="0"/>
    <xf numFmtId="0" fontId="16" fillId="0" borderId="0" applyNumberFormat="0" applyFill="0" applyBorder="0" applyAlignment="0" applyProtection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indent="1"/>
    </xf>
    <xf numFmtId="0" fontId="9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left" vertical="center" indent="1"/>
    </xf>
    <xf numFmtId="0" fontId="14" fillId="4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9" fillId="11" borderId="2" xfId="0" applyFont="1" applyFill="1" applyBorder="1" applyAlignment="1">
      <alignment horizontal="left" vertical="center" indent="1"/>
    </xf>
    <xf numFmtId="0" fontId="9" fillId="10" borderId="2" xfId="0" applyFont="1" applyFill="1" applyBorder="1" applyAlignment="1">
      <alignment horizontal="left" vertical="center" indent="1"/>
    </xf>
    <xf numFmtId="0" fontId="12" fillId="4" borderId="2" xfId="0" applyFont="1" applyFill="1" applyBorder="1" applyAlignment="1">
      <alignment horizontal="left" vertical="center" indent="1"/>
    </xf>
    <xf numFmtId="0" fontId="12" fillId="6" borderId="2" xfId="0" applyFont="1" applyFill="1" applyBorder="1" applyAlignment="1">
      <alignment horizontal="left" vertical="center" indent="1"/>
    </xf>
    <xf numFmtId="0" fontId="6" fillId="11" borderId="2" xfId="0" applyFont="1" applyFill="1" applyBorder="1" applyAlignment="1">
      <alignment horizontal="left" vertical="center" indent="1"/>
    </xf>
    <xf numFmtId="0" fontId="15" fillId="7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6" fillId="4" borderId="2" xfId="1" applyFill="1" applyBorder="1" applyAlignment="1">
      <alignment horizontal="left" vertical="center" indent="1"/>
    </xf>
    <xf numFmtId="0" fontId="12" fillId="4" borderId="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6" borderId="2" xfId="1" applyFill="1" applyBorder="1" applyAlignment="1">
      <alignment horizontal="left" vertical="center" indent="1"/>
    </xf>
    <xf numFmtId="0" fontId="18" fillId="6" borderId="2" xfId="0" applyFont="1" applyFill="1" applyBorder="1" applyAlignment="1">
      <alignment horizontal="center" vertical="center" wrapText="1"/>
    </xf>
    <xf numFmtId="0" fontId="16" fillId="0" borderId="0" xfId="1"/>
    <xf numFmtId="0" fontId="19" fillId="10" borderId="2" xfId="0" applyFont="1" applyFill="1" applyBorder="1" applyAlignment="1">
      <alignment horizontal="left" vertical="center" indent="1"/>
    </xf>
    <xf numFmtId="0" fontId="20" fillId="4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left" vertical="center" indent="1"/>
    </xf>
    <xf numFmtId="0" fontId="22" fillId="4" borderId="2" xfId="0" applyFont="1" applyFill="1" applyBorder="1" applyAlignment="1">
      <alignment horizontal="left" vertical="center" indent="1"/>
    </xf>
    <xf numFmtId="0" fontId="16" fillId="6" borderId="2" xfId="2" applyFill="1" applyBorder="1" applyAlignment="1">
      <alignment horizontal="left" vertical="center" indent="1"/>
    </xf>
    <xf numFmtId="0" fontId="19" fillId="11" borderId="2" xfId="0" applyFont="1" applyFill="1" applyBorder="1" applyAlignment="1">
      <alignment horizontal="left" vertical="center" indent="1"/>
    </xf>
    <xf numFmtId="0" fontId="14" fillId="13" borderId="2" xfId="0" applyFont="1" applyFill="1" applyBorder="1" applyAlignment="1">
      <alignment horizontal="center" vertical="center" wrapText="1"/>
    </xf>
    <xf numFmtId="0" fontId="24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7" fillId="0" borderId="3" xfId="0" applyFont="1" applyBorder="1" applyAlignment="1">
      <alignment vertical="center" indent="1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3">
    <cellStyle name="Hyperlink" xfId="1" xr:uid="{00000000-0005-0000-0000-000001000000}"/>
    <cellStyle name="표준" xfId="0" builtinId="0"/>
    <cellStyle name="하이퍼링크" xfId="2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7FAF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2E4A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255270</xdr:colOff>
      <xdr:row>33</xdr:row>
      <xdr:rowOff>17145</xdr:rowOff>
    </xdr:from>
    <xdr:to>
      <xdr:col>8</xdr:col>
      <xdr:colOff>400050</xdr:colOff>
      <xdr:row>41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7613B7-475D-DB74-A9DE-C5CDBA87B4C3}"/>
            </a:ext>
          </a:extLst>
        </xdr:cNvPr>
        <xdr:cNvSpPr txBox="1"/>
      </xdr:nvSpPr>
      <xdr:spPr>
        <a:xfrm>
          <a:off x="2579370" y="6989445"/>
          <a:ext cx="6050280" cy="187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tx1"/>
              </a:solidFill>
            </a:rPr>
            <a:t>진행상황 체크해야 할 곳 </a:t>
          </a:r>
          <a:br>
            <a:rPr lang="en-US" altLang="ko-KR" sz="1100">
              <a:solidFill>
                <a:schemeClr val="tx1"/>
              </a:solidFill>
            </a:rPr>
          </a:br>
          <a:r>
            <a:rPr lang="en-US" altLang="ko-KR" sz="1100">
              <a:solidFill>
                <a:schemeClr val="tx1"/>
              </a:solidFill>
            </a:rPr>
            <a:t>LS</a:t>
          </a:r>
          <a:r>
            <a:rPr lang="ko-KR" altLang="en-US" sz="1100">
              <a:solidFill>
                <a:schemeClr val="tx1"/>
              </a:solidFill>
            </a:rPr>
            <a:t>증권</a:t>
          </a:r>
          <a:r>
            <a:rPr lang="en-US" altLang="ko-KR" sz="1100" baseline="0">
              <a:solidFill>
                <a:schemeClr val="tx1"/>
              </a:solidFill>
            </a:rPr>
            <a:t> : </a:t>
          </a:r>
          <a:r>
            <a:rPr lang="ko-KR" altLang="en-US" sz="1100" baseline="0">
              <a:solidFill>
                <a:schemeClr val="tx1"/>
              </a:solidFill>
            </a:rPr>
            <a:t>과거 데이터 문제가 있었는데 이것 없이 그냥 진행할 수 있을 듯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신중호 센터장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  <a:br>
            <a:rPr lang="en-US" altLang="ko-KR" sz="1100" baseline="0">
              <a:solidFill>
                <a:schemeClr val="tx1"/>
              </a:solidFill>
            </a:rPr>
          </a:br>
          <a:r>
            <a:rPr lang="en-US" altLang="ko-KR" sz="1100" baseline="0">
              <a:solidFill>
                <a:schemeClr val="tx1"/>
              </a:solidFill>
            </a:rPr>
            <a:t>DB</a:t>
          </a:r>
          <a:r>
            <a:rPr lang="ko-KR" altLang="en-US" sz="1100" baseline="0">
              <a:solidFill>
                <a:schemeClr val="tx1"/>
              </a:solidFill>
            </a:rPr>
            <a:t>증권 </a:t>
          </a:r>
          <a:r>
            <a:rPr lang="en-US" altLang="ko-KR" sz="1100" baseline="0">
              <a:solidFill>
                <a:schemeClr val="tx1"/>
              </a:solidFill>
            </a:rPr>
            <a:t>: </a:t>
          </a:r>
          <a:r>
            <a:rPr lang="ko-KR" altLang="en-US" sz="1100" baseline="0">
              <a:solidFill>
                <a:schemeClr val="tx1"/>
              </a:solidFill>
            </a:rPr>
            <a:t>이병건 센터장 진행 완료</a:t>
          </a:r>
          <a:r>
            <a:rPr lang="en-US" altLang="ko-KR" sz="1100" baseline="0">
              <a:solidFill>
                <a:schemeClr val="tx1"/>
              </a:solidFill>
            </a:rPr>
            <a:t>(</a:t>
          </a:r>
          <a:r>
            <a:rPr lang="ko-KR" altLang="en-US" sz="1100" baseline="0">
              <a:solidFill>
                <a:schemeClr val="tx1"/>
              </a:solidFill>
            </a:rPr>
            <a:t>진행 한다고 함</a:t>
          </a:r>
          <a:r>
            <a:rPr lang="en-US" altLang="ko-KR" sz="1100" baseline="0">
              <a:solidFill>
                <a:schemeClr val="tx1"/>
              </a:solidFill>
            </a:rPr>
            <a:t>)</a:t>
          </a:r>
        </a:p>
        <a:p>
          <a:r>
            <a:rPr lang="en-US" altLang="ko-KR" sz="1100">
              <a:solidFill>
                <a:schemeClr val="tx1"/>
              </a:solidFill>
            </a:rPr>
            <a:t>DS</a:t>
          </a:r>
          <a:r>
            <a:rPr lang="ko-KR" altLang="en-US" sz="1100">
              <a:solidFill>
                <a:schemeClr val="tx1"/>
              </a:solidFill>
            </a:rPr>
            <a:t>투자증권 </a:t>
          </a:r>
          <a:r>
            <a:rPr lang="en-US" altLang="ko-KR" sz="1100">
              <a:solidFill>
                <a:schemeClr val="tx1"/>
              </a:solidFill>
            </a:rPr>
            <a:t>: </a:t>
          </a:r>
          <a:r>
            <a:rPr lang="ko-KR" altLang="en-US" sz="1100">
              <a:solidFill>
                <a:schemeClr val="tx1"/>
              </a:solidFill>
            </a:rPr>
            <a:t>김수현 센터장에게 </a:t>
          </a:r>
          <a:r>
            <a:rPr lang="en-US" altLang="ko-KR" sz="1100">
              <a:solidFill>
                <a:schemeClr val="tx1"/>
              </a:solidFill>
            </a:rPr>
            <a:t>7</a:t>
          </a:r>
          <a:r>
            <a:rPr lang="ko-KR" altLang="en-US" sz="1100">
              <a:solidFill>
                <a:schemeClr val="tx1"/>
              </a:solidFill>
            </a:rPr>
            <a:t>월 </a:t>
          </a:r>
          <a:r>
            <a:rPr lang="en-US" altLang="ko-KR" sz="1100">
              <a:solidFill>
                <a:schemeClr val="tx1"/>
              </a:solidFill>
            </a:rPr>
            <a:t>28</a:t>
          </a:r>
          <a:r>
            <a:rPr lang="ko-KR" altLang="en-US" sz="1100">
              <a:solidFill>
                <a:schemeClr val="tx1"/>
              </a:solidFill>
            </a:rPr>
            <a:t>일 메시지 다시 보냄</a:t>
          </a:r>
          <a:endParaRPr lang="en-US" altLang="ko-KR" sz="1100">
            <a:solidFill>
              <a:schemeClr val="tx1"/>
            </a:solidFill>
          </a:endParaRPr>
        </a:p>
        <a:p>
          <a:r>
            <a:rPr lang="ko-KR" altLang="en-US" sz="1100">
              <a:solidFill>
                <a:schemeClr val="tx1"/>
              </a:solidFill>
            </a:rPr>
            <a:t>메리츠증권 </a:t>
          </a:r>
          <a:r>
            <a:rPr lang="en-US" altLang="ko-KR" sz="1100">
              <a:solidFill>
                <a:schemeClr val="tx1"/>
              </a:solidFill>
            </a:rPr>
            <a:t>: </a:t>
          </a:r>
          <a:r>
            <a:rPr lang="ko-KR" altLang="en-US" sz="1100">
              <a:solidFill>
                <a:schemeClr val="tx1"/>
              </a:solidFill>
            </a:rPr>
            <a:t>이진우 센터장에게 </a:t>
          </a:r>
          <a:r>
            <a:rPr lang="en-US" altLang="ko-KR" sz="1100">
              <a:solidFill>
                <a:schemeClr val="tx1"/>
              </a:solidFill>
            </a:rPr>
            <a:t>7</a:t>
          </a:r>
          <a:r>
            <a:rPr lang="ko-KR" altLang="en-US" sz="1100">
              <a:solidFill>
                <a:schemeClr val="tx1"/>
              </a:solidFill>
            </a:rPr>
            <a:t>월 </a:t>
          </a:r>
          <a:r>
            <a:rPr lang="en-US" altLang="ko-KR" sz="1100">
              <a:solidFill>
                <a:schemeClr val="tx1"/>
              </a:solidFill>
            </a:rPr>
            <a:t>28</a:t>
          </a:r>
          <a:r>
            <a:rPr lang="ko-KR" altLang="en-US" sz="1100">
              <a:solidFill>
                <a:schemeClr val="tx1"/>
              </a:solidFill>
            </a:rPr>
            <a:t>일 메시지 다시 보냄</a:t>
          </a:r>
          <a:endParaRPr lang="en-US" altLang="ko-KR" sz="1100">
            <a:solidFill>
              <a:schemeClr val="tx1"/>
            </a:solidFill>
          </a:endParaRPr>
        </a:p>
        <a:p>
          <a:r>
            <a:rPr lang="ko-KR" altLang="en-US" sz="1100">
              <a:solidFill>
                <a:schemeClr val="tx1"/>
              </a:solidFill>
            </a:rPr>
            <a:t>유진투자증권 </a:t>
          </a:r>
          <a:r>
            <a:rPr lang="en-US" altLang="ko-KR" sz="1100">
              <a:solidFill>
                <a:schemeClr val="tx1"/>
              </a:solidFill>
            </a:rPr>
            <a:t>: </a:t>
          </a:r>
          <a:r>
            <a:rPr lang="ko-KR" altLang="en-US" sz="1100">
              <a:solidFill>
                <a:schemeClr val="tx1"/>
              </a:solidFill>
            </a:rPr>
            <a:t>이승우 센터장에게 </a:t>
          </a:r>
          <a:r>
            <a:rPr lang="en-US" altLang="ko-KR" sz="1100">
              <a:solidFill>
                <a:schemeClr val="tx1"/>
              </a:solidFill>
            </a:rPr>
            <a:t>7</a:t>
          </a:r>
          <a:r>
            <a:rPr lang="ko-KR" altLang="en-US" sz="1100">
              <a:solidFill>
                <a:schemeClr val="tx1"/>
              </a:solidFill>
            </a:rPr>
            <a:t>월 </a:t>
          </a:r>
          <a:r>
            <a:rPr lang="en-US" altLang="ko-KR" sz="1100">
              <a:solidFill>
                <a:schemeClr val="tx1"/>
              </a:solidFill>
            </a:rPr>
            <a:t>28</a:t>
          </a:r>
          <a:r>
            <a:rPr lang="ko-KR" altLang="en-US" sz="1100">
              <a:solidFill>
                <a:schemeClr val="tx1"/>
              </a:solidFill>
            </a:rPr>
            <a:t>일 메시지 다시 보냄</a:t>
          </a:r>
          <a:r>
            <a:rPr lang="en-US" altLang="ko-KR" sz="1100">
              <a:solidFill>
                <a:schemeClr val="tx1"/>
              </a:solidFill>
            </a:rPr>
            <a:t>(</a:t>
          </a:r>
          <a:r>
            <a:rPr lang="ko-KR" altLang="en-US" sz="1100">
              <a:solidFill>
                <a:schemeClr val="tx1"/>
              </a:solidFill>
            </a:rPr>
            <a:t>진행 한다고 함</a:t>
          </a:r>
          <a:r>
            <a:rPr lang="en-US" altLang="ko-KR" sz="1100">
              <a:solidFill>
                <a:schemeClr val="tx1"/>
              </a:solidFill>
            </a:rPr>
            <a:t>)</a:t>
          </a:r>
        </a:p>
        <a:p>
          <a:r>
            <a:rPr lang="ko-KR" altLang="en-US" sz="1100">
              <a:solidFill>
                <a:schemeClr val="tx1"/>
              </a:solidFill>
            </a:rPr>
            <a:t>상상인증권 </a:t>
          </a:r>
          <a:r>
            <a:rPr lang="en-US" altLang="ko-KR" sz="1100">
              <a:solidFill>
                <a:schemeClr val="tx1"/>
              </a:solidFill>
            </a:rPr>
            <a:t>: </a:t>
          </a:r>
          <a:r>
            <a:rPr lang="ko-KR" altLang="en-US" sz="1100">
              <a:solidFill>
                <a:schemeClr val="tx1"/>
              </a:solidFill>
            </a:rPr>
            <a:t>백영찬 센터장 진행함</a:t>
          </a:r>
          <a:endParaRPr lang="en-US" altLang="ko-KR" sz="1100">
            <a:solidFill>
              <a:schemeClr val="tx1"/>
            </a:solidFill>
          </a:endParaRPr>
        </a:p>
        <a:p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wlee6591@eugenefn.com" TargetMode="External"/><Relationship Id="rId13" Type="http://schemas.openxmlformats.org/officeDocument/2006/relationships/hyperlink" Target="mailto:hsj@heungkuksec.co.kr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jh.shin@ls-sec.co.kr" TargetMode="External"/><Relationship Id="rId7" Type="http://schemas.openxmlformats.org/officeDocument/2006/relationships/hyperlink" Target="mailto:kim.hak-kyun@shinyoung.com" TargetMode="External"/><Relationship Id="rId12" Type="http://schemas.openxmlformats.org/officeDocument/2006/relationships/hyperlink" Target="mailto:hwpark@hmsec.com" TargetMode="External"/><Relationship Id="rId17" Type="http://schemas.openxmlformats.org/officeDocument/2006/relationships/hyperlink" Target="mailto:ycbaek@sangsanginib.com" TargetMode="External"/><Relationship Id="rId2" Type="http://schemas.openxmlformats.org/officeDocument/2006/relationships/hyperlink" Target="mailto:yshaha@ibks.com" TargetMode="External"/><Relationship Id="rId16" Type="http://schemas.openxmlformats.org/officeDocument/2006/relationships/hyperlink" Target="mailto:doyeon0320@sks.co.kr" TargetMode="External"/><Relationship Id="rId1" Type="http://schemas.openxmlformats.org/officeDocument/2006/relationships/hyperlink" Target="mailto:yb.kwon@miraeasset.com" TargetMode="External"/><Relationship Id="rId6" Type="http://schemas.openxmlformats.org/officeDocument/2006/relationships/hyperlink" Target="mailto:jinwoo.lee@meritz.co.kr" TargetMode="External"/><Relationship Id="rId11" Type="http://schemas.openxmlformats.org/officeDocument/2006/relationships/hyperlink" Target="mailto:houn0715@hanwha.com" TargetMode="External"/><Relationship Id="rId5" Type="http://schemas.openxmlformats.org/officeDocument/2006/relationships/hyperlink" Target="mailto:pyrrhon72@dbsec.co.kr" TargetMode="External"/><Relationship Id="rId15" Type="http://schemas.openxmlformats.org/officeDocument/2006/relationships/hyperlink" Target="mailto:coolbong@infnsec.com" TargetMode="External"/><Relationship Id="rId10" Type="http://schemas.openxmlformats.org/officeDocument/2006/relationships/hyperlink" Target="mailto:ryank@hygood.co.kr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mailto:ksn0909@bnkfn.co.kr" TargetMode="External"/><Relationship Id="rId9" Type="http://schemas.openxmlformats.org/officeDocument/2006/relationships/hyperlink" Target="mailto:kypark@kiwoom.com" TargetMode="External"/><Relationship Id="rId14" Type="http://schemas.openxmlformats.org/officeDocument/2006/relationships/hyperlink" Target="mailto:seankim@ds-sec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Normal="100" workbookViewId="0">
      <pane ySplit="3" topLeftCell="A4" activePane="bottomLeft" state="frozen"/>
      <selection pane="bottomLeft" activeCell="G16" sqref="G16"/>
    </sheetView>
  </sheetViews>
  <sheetFormatPr defaultColWidth="8.6640625" defaultRowHeight="14.4"/>
  <cols>
    <col min="1" max="1" width="6" customWidth="1"/>
    <col min="2" max="2" width="16" customWidth="1"/>
    <col min="3" max="3" width="12" customWidth="1"/>
    <col min="4" max="4" width="20" customWidth="1"/>
    <col min="5" max="5" width="15" customWidth="1"/>
    <col min="6" max="6" width="28" customWidth="1"/>
    <col min="7" max="7" width="10" customWidth="1"/>
    <col min="8" max="8" width="13" customWidth="1"/>
    <col min="9" max="11" width="10" customWidth="1"/>
    <col min="12" max="12" width="40.6640625" customWidth="1"/>
  </cols>
  <sheetData>
    <row r="1" spans="1:12" ht="31.5" customHeight="1">
      <c r="A1" s="57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8" customHeight="1">
      <c r="A2" s="53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30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9" t="s">
        <v>12</v>
      </c>
      <c r="L3" s="2" t="s">
        <v>13</v>
      </c>
    </row>
    <row r="4" spans="1:12" ht="22.95" customHeight="1">
      <c r="A4" s="3">
        <v>1</v>
      </c>
      <c r="B4" s="29" t="s">
        <v>14</v>
      </c>
      <c r="C4" s="5" t="s">
        <v>15</v>
      </c>
      <c r="D4" s="3" t="s">
        <v>16</v>
      </c>
      <c r="E4" s="3" t="s">
        <v>17</v>
      </c>
      <c r="F4" s="37" t="s">
        <v>18</v>
      </c>
      <c r="G4" s="7" t="s">
        <v>19</v>
      </c>
      <c r="H4" s="3">
        <v>5.19</v>
      </c>
      <c r="I4" s="7" t="s">
        <v>19</v>
      </c>
      <c r="J4" s="3" t="s">
        <v>20</v>
      </c>
      <c r="K4" s="38" t="s">
        <v>21</v>
      </c>
      <c r="L4" s="32" t="s">
        <v>22</v>
      </c>
    </row>
    <row r="5" spans="1:12" ht="22.95" customHeight="1">
      <c r="A5" s="9">
        <v>2</v>
      </c>
      <c r="B5" s="30" t="s">
        <v>23</v>
      </c>
      <c r="C5" s="10" t="s">
        <v>24</v>
      </c>
      <c r="D5" s="10" t="s">
        <v>25</v>
      </c>
      <c r="E5" s="9" t="s">
        <v>26</v>
      </c>
      <c r="F5" s="11" t="s">
        <v>27</v>
      </c>
      <c r="G5" s="7" t="s">
        <v>19</v>
      </c>
      <c r="H5" s="9">
        <v>5.26</v>
      </c>
      <c r="I5" s="7" t="s">
        <v>19</v>
      </c>
      <c r="J5" s="9" t="s">
        <v>20</v>
      </c>
      <c r="K5" s="38" t="s">
        <v>21</v>
      </c>
      <c r="L5" s="33" t="s">
        <v>28</v>
      </c>
    </row>
    <row r="6" spans="1:12">
      <c r="A6" s="3">
        <v>3</v>
      </c>
      <c r="B6" s="29" t="s">
        <v>29</v>
      </c>
      <c r="C6" s="5" t="s">
        <v>30</v>
      </c>
      <c r="D6" s="5" t="s">
        <v>31</v>
      </c>
      <c r="E6" s="3" t="s">
        <v>32</v>
      </c>
      <c r="F6" s="6" t="s">
        <v>33</v>
      </c>
      <c r="G6" s="7" t="s">
        <v>19</v>
      </c>
      <c r="H6" s="3">
        <v>5.27</v>
      </c>
      <c r="I6" s="7" t="s">
        <v>19</v>
      </c>
      <c r="J6" s="38" t="s">
        <v>34</v>
      </c>
      <c r="K6" s="38" t="s">
        <v>21</v>
      </c>
      <c r="L6" s="32" t="s">
        <v>35</v>
      </c>
    </row>
    <row r="7" spans="1:12">
      <c r="A7" s="9">
        <v>4</v>
      </c>
      <c r="B7" s="30" t="s">
        <v>36</v>
      </c>
      <c r="C7" s="10" t="s">
        <v>37</v>
      </c>
      <c r="D7" s="10" t="s">
        <v>38</v>
      </c>
      <c r="E7" s="9" t="s">
        <v>39</v>
      </c>
      <c r="F7" s="40" t="s">
        <v>40</v>
      </c>
      <c r="G7" s="7" t="s">
        <v>19</v>
      </c>
      <c r="H7" s="9" t="s">
        <v>41</v>
      </c>
      <c r="I7" s="45" t="s">
        <v>42</v>
      </c>
      <c r="J7" s="9" t="s">
        <v>43</v>
      </c>
      <c r="K7" s="9"/>
      <c r="L7" s="27" t="s">
        <v>44</v>
      </c>
    </row>
    <row r="8" spans="1:12" ht="26.4" customHeight="1">
      <c r="A8" s="3">
        <v>5</v>
      </c>
      <c r="B8" s="29" t="s">
        <v>45</v>
      </c>
      <c r="C8" s="5" t="s">
        <v>46</v>
      </c>
      <c r="D8" s="5" t="s">
        <v>47</v>
      </c>
      <c r="E8" s="46" t="s">
        <v>48</v>
      </c>
      <c r="F8" s="48" t="s">
        <v>49</v>
      </c>
      <c r="G8" s="12" t="s">
        <v>50</v>
      </c>
      <c r="H8" s="38" t="s">
        <v>51</v>
      </c>
      <c r="I8" s="45" t="s">
        <v>42</v>
      </c>
      <c r="J8" s="3" t="s">
        <v>43</v>
      </c>
      <c r="K8" s="3"/>
      <c r="L8" s="47" t="s">
        <v>52</v>
      </c>
    </row>
    <row r="9" spans="1:12">
      <c r="A9" s="9">
        <v>6</v>
      </c>
      <c r="B9" s="30" t="s">
        <v>53</v>
      </c>
      <c r="C9" s="51" t="s">
        <v>173</v>
      </c>
      <c r="D9" s="10" t="s">
        <v>54</v>
      </c>
      <c r="E9" s="9" t="s">
        <v>55</v>
      </c>
      <c r="F9" s="40" t="s">
        <v>56</v>
      </c>
      <c r="G9" s="7" t="s">
        <v>19</v>
      </c>
      <c r="H9" s="9" t="s">
        <v>57</v>
      </c>
      <c r="I9" s="7" t="s">
        <v>19</v>
      </c>
      <c r="J9" s="36" t="s">
        <v>20</v>
      </c>
      <c r="K9" s="36" t="s">
        <v>177</v>
      </c>
      <c r="L9" s="27" t="s">
        <v>58</v>
      </c>
    </row>
    <row r="10" spans="1:12">
      <c r="A10" s="3">
        <v>7</v>
      </c>
      <c r="B10" s="31" t="s">
        <v>59</v>
      </c>
      <c r="C10" s="5"/>
      <c r="D10" s="5"/>
      <c r="E10" s="3"/>
      <c r="F10" s="6"/>
      <c r="G10" s="12" t="s">
        <v>50</v>
      </c>
      <c r="H10" s="3"/>
      <c r="I10" s="3" t="s">
        <v>43</v>
      </c>
      <c r="J10" s="3" t="s">
        <v>43</v>
      </c>
      <c r="K10" s="3"/>
      <c r="L10" s="28" t="s">
        <v>178</v>
      </c>
    </row>
    <row r="11" spans="1:12">
      <c r="A11" s="9">
        <v>8</v>
      </c>
      <c r="B11" s="30" t="s">
        <v>60</v>
      </c>
      <c r="C11" s="36" t="s">
        <v>61</v>
      </c>
      <c r="D11" s="36" t="s">
        <v>54</v>
      </c>
      <c r="E11" s="9" t="s">
        <v>62</v>
      </c>
      <c r="F11" s="40" t="s">
        <v>63</v>
      </c>
      <c r="G11" s="7" t="s">
        <v>19</v>
      </c>
      <c r="H11" s="9" t="s">
        <v>64</v>
      </c>
      <c r="I11" s="7" t="s">
        <v>19</v>
      </c>
      <c r="J11" s="36" t="s">
        <v>65</v>
      </c>
      <c r="K11" s="36" t="s">
        <v>21</v>
      </c>
      <c r="L11" s="33" t="s">
        <v>66</v>
      </c>
    </row>
    <row r="12" spans="1:12" ht="26.4">
      <c r="A12" s="3">
        <v>9</v>
      </c>
      <c r="B12" s="31" t="s">
        <v>67</v>
      </c>
      <c r="C12" s="38" t="s">
        <v>68</v>
      </c>
      <c r="D12" s="38" t="s">
        <v>54</v>
      </c>
      <c r="E12" s="3" t="s">
        <v>69</v>
      </c>
      <c r="F12" s="37" t="s">
        <v>70</v>
      </c>
      <c r="G12" s="7" t="s">
        <v>19</v>
      </c>
      <c r="H12" s="3" t="s">
        <v>71</v>
      </c>
      <c r="I12" s="7" t="s">
        <v>19</v>
      </c>
      <c r="J12" s="38" t="s">
        <v>20</v>
      </c>
      <c r="K12" s="38" t="s">
        <v>175</v>
      </c>
      <c r="L12" s="8" t="s">
        <v>72</v>
      </c>
    </row>
    <row r="13" spans="1:12">
      <c r="A13" s="9">
        <v>10</v>
      </c>
      <c r="B13" s="30" t="s">
        <v>73</v>
      </c>
      <c r="C13" s="36" t="s">
        <v>174</v>
      </c>
      <c r="D13" s="36" t="s">
        <v>54</v>
      </c>
      <c r="E13" s="9" t="s">
        <v>74</v>
      </c>
      <c r="F13" s="42" t="s">
        <v>75</v>
      </c>
      <c r="G13" s="7" t="s">
        <v>19</v>
      </c>
      <c r="H13" s="9" t="s">
        <v>76</v>
      </c>
      <c r="I13" s="35" t="s">
        <v>50</v>
      </c>
      <c r="J13" s="36" t="s">
        <v>20</v>
      </c>
      <c r="K13" s="9"/>
      <c r="L13" s="33" t="s">
        <v>77</v>
      </c>
    </row>
    <row r="14" spans="1:12">
      <c r="A14" s="3">
        <v>11</v>
      </c>
      <c r="B14" s="31" t="s">
        <v>78</v>
      </c>
      <c r="C14" s="38" t="s">
        <v>79</v>
      </c>
      <c r="D14" s="38" t="s">
        <v>80</v>
      </c>
      <c r="E14" s="3" t="s">
        <v>81</v>
      </c>
      <c r="F14" s="42" t="s">
        <v>82</v>
      </c>
      <c r="G14" s="12" t="s">
        <v>50</v>
      </c>
      <c r="H14" s="3" t="s">
        <v>83</v>
      </c>
      <c r="I14" s="45" t="s">
        <v>42</v>
      </c>
      <c r="J14" s="3" t="s">
        <v>43</v>
      </c>
      <c r="K14" s="3"/>
      <c r="L14" s="32" t="s">
        <v>84</v>
      </c>
    </row>
    <row r="15" spans="1:12">
      <c r="A15" s="9">
        <v>12</v>
      </c>
      <c r="B15" s="30" t="s">
        <v>85</v>
      </c>
      <c r="C15" s="36" t="s">
        <v>86</v>
      </c>
      <c r="D15" s="36" t="s">
        <v>87</v>
      </c>
      <c r="E15" s="9" t="s">
        <v>88</v>
      </c>
      <c r="F15" s="49" t="s">
        <v>164</v>
      </c>
      <c r="G15" s="7" t="s">
        <v>19</v>
      </c>
      <c r="H15" s="9" t="s">
        <v>89</v>
      </c>
      <c r="I15" s="7" t="s">
        <v>19</v>
      </c>
      <c r="J15" s="36" t="s">
        <v>165</v>
      </c>
      <c r="K15" s="36" t="s">
        <v>172</v>
      </c>
      <c r="L15" s="33" t="s">
        <v>166</v>
      </c>
    </row>
    <row r="16" spans="1:12">
      <c r="A16" s="3">
        <v>13</v>
      </c>
      <c r="B16" s="29" t="s">
        <v>90</v>
      </c>
      <c r="C16" s="3"/>
      <c r="D16" s="3"/>
      <c r="E16" s="3"/>
      <c r="F16" s="6"/>
      <c r="G16" s="13" t="s">
        <v>42</v>
      </c>
      <c r="H16" s="3" t="s">
        <v>188</v>
      </c>
      <c r="I16" s="3" t="s">
        <v>43</v>
      </c>
      <c r="J16" s="3" t="s">
        <v>43</v>
      </c>
      <c r="K16" s="3"/>
      <c r="L16" s="32" t="s">
        <v>187</v>
      </c>
    </row>
    <row r="17" spans="1:12">
      <c r="A17" s="9">
        <v>14</v>
      </c>
      <c r="B17" s="34" t="s">
        <v>91</v>
      </c>
      <c r="C17" s="36"/>
      <c r="D17" s="9"/>
      <c r="E17" s="9"/>
      <c r="F17" s="11"/>
      <c r="G17" s="7" t="s">
        <v>19</v>
      </c>
      <c r="H17" s="9"/>
      <c r="I17" s="7" t="s">
        <v>19</v>
      </c>
      <c r="J17" s="36" t="s">
        <v>185</v>
      </c>
      <c r="K17" s="36" t="s">
        <v>186</v>
      </c>
      <c r="L17" s="33" t="s">
        <v>184</v>
      </c>
    </row>
    <row r="18" spans="1:12">
      <c r="A18" s="3">
        <v>15</v>
      </c>
      <c r="B18" s="4" t="s">
        <v>92</v>
      </c>
      <c r="C18" s="3"/>
      <c r="D18" s="3"/>
      <c r="E18" s="3"/>
      <c r="F18" s="6"/>
      <c r="G18" s="13" t="s">
        <v>42</v>
      </c>
      <c r="H18" s="3"/>
      <c r="I18" s="3" t="s">
        <v>43</v>
      </c>
      <c r="J18" s="3" t="s">
        <v>43</v>
      </c>
      <c r="K18" s="3"/>
      <c r="L18" s="8"/>
    </row>
    <row r="19" spans="1:12">
      <c r="A19" s="9">
        <v>16</v>
      </c>
      <c r="B19" s="34" t="s">
        <v>93</v>
      </c>
      <c r="C19" s="36" t="s">
        <v>94</v>
      </c>
      <c r="D19" s="36" t="s">
        <v>54</v>
      </c>
      <c r="E19" s="9" t="s">
        <v>95</v>
      </c>
      <c r="F19" s="40" t="s">
        <v>96</v>
      </c>
      <c r="G19" s="7" t="s">
        <v>19</v>
      </c>
      <c r="H19" s="9" t="s">
        <v>97</v>
      </c>
      <c r="I19" s="35" t="s">
        <v>50</v>
      </c>
      <c r="J19" s="41" t="s">
        <v>20</v>
      </c>
      <c r="K19" s="9"/>
      <c r="L19" s="33" t="s">
        <v>98</v>
      </c>
    </row>
    <row r="20" spans="1:12">
      <c r="A20" s="3">
        <v>17</v>
      </c>
      <c r="B20" s="29" t="s">
        <v>99</v>
      </c>
      <c r="C20" s="3"/>
      <c r="D20" s="3"/>
      <c r="E20" s="3"/>
      <c r="F20" s="6"/>
      <c r="G20" s="7" t="s">
        <v>19</v>
      </c>
      <c r="H20" s="3" t="s">
        <v>100</v>
      </c>
      <c r="I20" s="45" t="s">
        <v>42</v>
      </c>
      <c r="J20" s="3" t="s">
        <v>43</v>
      </c>
      <c r="K20" s="3"/>
      <c r="L20" s="32" t="s">
        <v>101</v>
      </c>
    </row>
    <row r="21" spans="1:12">
      <c r="A21" s="9">
        <v>18</v>
      </c>
      <c r="B21" s="50" t="s">
        <v>167</v>
      </c>
      <c r="C21" s="36" t="s">
        <v>168</v>
      </c>
      <c r="D21" s="36" t="s">
        <v>169</v>
      </c>
      <c r="E21" s="9" t="s">
        <v>180</v>
      </c>
      <c r="F21" s="49" t="s">
        <v>181</v>
      </c>
      <c r="G21" s="7" t="s">
        <v>19</v>
      </c>
      <c r="H21" s="9" t="s">
        <v>170</v>
      </c>
      <c r="I21" s="7" t="s">
        <v>19</v>
      </c>
      <c r="J21" s="36" t="s">
        <v>182</v>
      </c>
      <c r="K21" s="36" t="s">
        <v>183</v>
      </c>
      <c r="L21" s="33"/>
    </row>
    <row r="22" spans="1:12">
      <c r="A22" s="3">
        <v>19</v>
      </c>
      <c r="B22" s="29" t="s">
        <v>102</v>
      </c>
      <c r="C22" s="38" t="s">
        <v>103</v>
      </c>
      <c r="D22" s="38" t="s">
        <v>54</v>
      </c>
      <c r="E22" s="3" t="s">
        <v>104</v>
      </c>
      <c r="F22" s="37" t="s">
        <v>105</v>
      </c>
      <c r="G22" s="7" t="s">
        <v>19</v>
      </c>
      <c r="H22" s="3" t="s">
        <v>106</v>
      </c>
      <c r="I22" s="7" t="s">
        <v>19</v>
      </c>
      <c r="J22" s="41" t="s">
        <v>20</v>
      </c>
      <c r="K22" s="38" t="s">
        <v>21</v>
      </c>
      <c r="L22" s="32" t="s">
        <v>107</v>
      </c>
    </row>
    <row r="23" spans="1:12">
      <c r="A23" s="9">
        <v>20</v>
      </c>
      <c r="B23" s="14" t="s">
        <v>108</v>
      </c>
      <c r="C23" s="36"/>
      <c r="D23" s="9"/>
      <c r="E23" s="9"/>
      <c r="F23" s="11"/>
      <c r="G23" s="13" t="s">
        <v>42</v>
      </c>
      <c r="H23" s="9"/>
      <c r="I23" s="9" t="s">
        <v>43</v>
      </c>
      <c r="J23" s="9" t="s">
        <v>43</v>
      </c>
      <c r="K23" s="9"/>
      <c r="L23" s="33" t="s">
        <v>171</v>
      </c>
    </row>
    <row r="24" spans="1:12">
      <c r="A24" s="3">
        <v>21</v>
      </c>
      <c r="B24" s="29" t="s">
        <v>109</v>
      </c>
      <c r="C24" s="3"/>
      <c r="D24" s="3"/>
      <c r="E24" s="3"/>
      <c r="F24" s="6"/>
      <c r="G24" s="13" t="s">
        <v>42</v>
      </c>
      <c r="H24" s="3"/>
      <c r="I24" s="3" t="s">
        <v>43</v>
      </c>
      <c r="J24" s="3" t="s">
        <v>43</v>
      </c>
      <c r="K24" s="3"/>
      <c r="L24" s="32" t="s">
        <v>179</v>
      </c>
    </row>
    <row r="25" spans="1:12" ht="26.4">
      <c r="A25" s="9">
        <v>22</v>
      </c>
      <c r="B25" s="34" t="s">
        <v>110</v>
      </c>
      <c r="C25" s="36" t="s">
        <v>111</v>
      </c>
      <c r="D25" s="36" t="s">
        <v>112</v>
      </c>
      <c r="E25" s="9" t="s">
        <v>113</v>
      </c>
      <c r="F25" s="40" t="s">
        <v>114</v>
      </c>
      <c r="G25" s="7" t="s">
        <v>19</v>
      </c>
      <c r="H25" s="9" t="s">
        <v>115</v>
      </c>
      <c r="I25" s="7" t="s">
        <v>19</v>
      </c>
      <c r="J25" s="36" t="s">
        <v>20</v>
      </c>
      <c r="K25" s="36" t="s">
        <v>176</v>
      </c>
      <c r="L25" s="33" t="s">
        <v>116</v>
      </c>
    </row>
    <row r="26" spans="1:12">
      <c r="A26" s="3">
        <v>23</v>
      </c>
      <c r="B26" s="29" t="s">
        <v>117</v>
      </c>
      <c r="C26" s="3" t="s">
        <v>118</v>
      </c>
      <c r="D26" s="3" t="s">
        <v>119</v>
      </c>
      <c r="E26" s="3" t="s">
        <v>120</v>
      </c>
      <c r="F26" s="37" t="s">
        <v>121</v>
      </c>
      <c r="G26" s="7" t="s">
        <v>19</v>
      </c>
      <c r="H26" s="3" t="s">
        <v>122</v>
      </c>
      <c r="I26" s="7" t="s">
        <v>19</v>
      </c>
      <c r="J26" s="3" t="s">
        <v>20</v>
      </c>
      <c r="K26" s="38" t="s">
        <v>172</v>
      </c>
      <c r="L26" s="32" t="s">
        <v>123</v>
      </c>
    </row>
    <row r="27" spans="1:12">
      <c r="A27" s="9">
        <v>24</v>
      </c>
      <c r="B27" s="34" t="s">
        <v>124</v>
      </c>
      <c r="C27" s="9"/>
      <c r="D27" s="9"/>
      <c r="E27" s="9"/>
      <c r="F27" s="11"/>
      <c r="G27" s="7" t="s">
        <v>19</v>
      </c>
      <c r="H27" s="9"/>
      <c r="I27" s="7" t="s">
        <v>19</v>
      </c>
      <c r="J27" s="36" t="s">
        <v>20</v>
      </c>
      <c r="K27" s="36" t="s">
        <v>21</v>
      </c>
      <c r="L27" s="33" t="s">
        <v>125</v>
      </c>
    </row>
    <row r="28" spans="1:12">
      <c r="A28" s="3">
        <v>25</v>
      </c>
      <c r="B28" s="29" t="s">
        <v>126</v>
      </c>
      <c r="C28" s="3"/>
      <c r="D28" s="3"/>
      <c r="E28" s="3"/>
      <c r="F28" s="6"/>
      <c r="G28" s="12" t="s">
        <v>50</v>
      </c>
      <c r="H28" s="38" t="s">
        <v>127</v>
      </c>
      <c r="I28" s="45" t="s">
        <v>42</v>
      </c>
      <c r="J28" s="3" t="s">
        <v>43</v>
      </c>
      <c r="K28" s="3"/>
      <c r="L28" s="32" t="s">
        <v>128</v>
      </c>
    </row>
    <row r="29" spans="1:12">
      <c r="A29" s="9">
        <v>26</v>
      </c>
      <c r="B29" s="34" t="s">
        <v>129</v>
      </c>
      <c r="C29" s="36" t="s">
        <v>130</v>
      </c>
      <c r="D29" s="36" t="s">
        <v>131</v>
      </c>
      <c r="E29" s="9" t="s">
        <v>132</v>
      </c>
      <c r="F29" s="40" t="s">
        <v>133</v>
      </c>
      <c r="G29" s="7" t="s">
        <v>19</v>
      </c>
      <c r="H29" s="9"/>
      <c r="I29" s="7" t="s">
        <v>19</v>
      </c>
      <c r="J29" s="36" t="s">
        <v>134</v>
      </c>
      <c r="K29" s="36" t="s">
        <v>21</v>
      </c>
      <c r="L29" s="33" t="s">
        <v>135</v>
      </c>
    </row>
    <row r="30" spans="1:12" ht="15.6">
      <c r="A30" s="3">
        <v>27</v>
      </c>
      <c r="B30" s="29" t="s">
        <v>136</v>
      </c>
      <c r="C30" s="38" t="s">
        <v>137</v>
      </c>
      <c r="D30" s="38" t="s">
        <v>112</v>
      </c>
      <c r="E30" s="3" t="s">
        <v>138</v>
      </c>
      <c r="F30" s="37" t="s">
        <v>139</v>
      </c>
      <c r="G30" s="7" t="s">
        <v>19</v>
      </c>
      <c r="H30" s="3" t="s">
        <v>140</v>
      </c>
      <c r="I30" s="7" t="s">
        <v>19</v>
      </c>
      <c r="J30" s="3" t="s">
        <v>20</v>
      </c>
      <c r="K30" s="36" t="s">
        <v>21</v>
      </c>
      <c r="L30" s="32" t="s">
        <v>141</v>
      </c>
    </row>
    <row r="31" spans="1:12">
      <c r="A31" s="9">
        <v>28</v>
      </c>
      <c r="B31" s="34" t="s">
        <v>142</v>
      </c>
      <c r="C31" s="36" t="s">
        <v>143</v>
      </c>
      <c r="D31" s="36" t="s">
        <v>144</v>
      </c>
      <c r="E31" s="9" t="s">
        <v>145</v>
      </c>
      <c r="F31" s="40" t="s">
        <v>146</v>
      </c>
      <c r="G31" s="7" t="s">
        <v>19</v>
      </c>
      <c r="H31" s="9" t="s">
        <v>147</v>
      </c>
      <c r="I31" s="7" t="s">
        <v>19</v>
      </c>
      <c r="J31" s="36" t="s">
        <v>65</v>
      </c>
      <c r="K31" s="36" t="s">
        <v>21</v>
      </c>
      <c r="L31" s="33" t="s">
        <v>148</v>
      </c>
    </row>
    <row r="32" spans="1:12">
      <c r="A32" s="3">
        <v>29</v>
      </c>
      <c r="B32" s="43" t="s">
        <v>149</v>
      </c>
      <c r="C32" s="38" t="s">
        <v>150</v>
      </c>
      <c r="D32" s="38" t="s">
        <v>54</v>
      </c>
      <c r="E32" s="9" t="s">
        <v>151</v>
      </c>
      <c r="F32" s="42" t="s">
        <v>152</v>
      </c>
      <c r="G32" s="7" t="s">
        <v>19</v>
      </c>
      <c r="H32" s="3" t="s">
        <v>153</v>
      </c>
      <c r="I32" s="7" t="s">
        <v>19</v>
      </c>
      <c r="J32" s="44" t="s">
        <v>65</v>
      </c>
      <c r="K32" s="38" t="s">
        <v>21</v>
      </c>
      <c r="L32" s="32" t="s">
        <v>154</v>
      </c>
    </row>
    <row r="34" spans="1:4" ht="21.75" customHeight="1">
      <c r="A34" s="59" t="s">
        <v>155</v>
      </c>
      <c r="B34" s="54"/>
      <c r="C34" s="54"/>
    </row>
    <row r="35" spans="1:4" ht="18" customHeight="1">
      <c r="A35" s="15" t="s">
        <v>156</v>
      </c>
      <c r="B35" s="16">
        <f>COUNTIF(G4:G32,"O")</f>
        <v>21</v>
      </c>
      <c r="D35" s="52"/>
    </row>
    <row r="36" spans="1:4" ht="18" customHeight="1">
      <c r="A36" s="17" t="s">
        <v>157</v>
      </c>
      <c r="B36" s="18">
        <f>COUNTIF(G4:G32,"△")</f>
        <v>4</v>
      </c>
    </row>
    <row r="37" spans="1:4" ht="18" customHeight="1">
      <c r="A37" s="19" t="s">
        <v>158</v>
      </c>
      <c r="B37" s="20">
        <f>COUNTIF(G4:G32,"X")</f>
        <v>4</v>
      </c>
    </row>
    <row r="38" spans="1:4" ht="18" customHeight="1">
      <c r="A38" s="21" t="s">
        <v>159</v>
      </c>
      <c r="B38" s="22">
        <f>COUNTA(B4:B32)</f>
        <v>29</v>
      </c>
    </row>
    <row r="40" spans="1:4" ht="18" customHeight="1">
      <c r="A40" s="58" t="s">
        <v>160</v>
      </c>
      <c r="B40" s="54"/>
      <c r="C40" s="54"/>
    </row>
    <row r="41" spans="1:4" ht="15.75" customHeight="1">
      <c r="A41" s="23" t="s">
        <v>19</v>
      </c>
      <c r="B41" s="55" t="s">
        <v>161</v>
      </c>
      <c r="C41" s="56"/>
    </row>
    <row r="42" spans="1:4" ht="15.75" customHeight="1">
      <c r="A42" s="24" t="s">
        <v>50</v>
      </c>
      <c r="B42" s="55" t="s">
        <v>162</v>
      </c>
      <c r="C42" s="56"/>
    </row>
    <row r="43" spans="1:4" ht="15.75" customHeight="1">
      <c r="A43" s="25" t="s">
        <v>42</v>
      </c>
      <c r="B43" s="55" t="s">
        <v>158</v>
      </c>
      <c r="C43" s="56"/>
    </row>
    <row r="44" spans="1:4" ht="15.75" customHeight="1">
      <c r="A44" s="26" t="s">
        <v>43</v>
      </c>
      <c r="B44" s="55" t="s">
        <v>163</v>
      </c>
      <c r="C44" s="56"/>
    </row>
  </sheetData>
  <autoFilter ref="A3:L32" xr:uid="{00000000-0009-0000-0000-000000000000}"/>
  <mergeCells count="8">
    <mergeCell ref="A2:L2"/>
    <mergeCell ref="B44:C44"/>
    <mergeCell ref="A1:L1"/>
    <mergeCell ref="B42:C42"/>
    <mergeCell ref="A40:C40"/>
    <mergeCell ref="A34:C34"/>
    <mergeCell ref="B41:C41"/>
    <mergeCell ref="B43:C43"/>
  </mergeCells>
  <phoneticPr fontId="11" type="noConversion"/>
  <hyperlinks>
    <hyperlink ref="F4" r:id="rId1" xr:uid="{00000000-0004-0000-0000-000000000000}"/>
    <hyperlink ref="F7" r:id="rId2" xr:uid="{00000000-0004-0000-0000-000001000000}"/>
    <hyperlink ref="F9" r:id="rId3" xr:uid="{00000000-0004-0000-0000-000002000000}"/>
    <hyperlink ref="F11" r:id="rId4" xr:uid="{00000000-0004-0000-0000-000003000000}"/>
    <hyperlink ref="F12" r:id="rId5" xr:uid="{00000000-0004-0000-0000-000004000000}"/>
    <hyperlink ref="F19" r:id="rId6" xr:uid="{00000000-0004-0000-0000-000005000000}"/>
    <hyperlink ref="F22" r:id="rId7" xr:uid="{00000000-0004-0000-0000-000006000000}"/>
    <hyperlink ref="F25" r:id="rId8" xr:uid="{00000000-0004-0000-0000-000007000000}"/>
    <hyperlink ref="F26" r:id="rId9" xr:uid="{00000000-0004-0000-0000-000008000000}"/>
    <hyperlink ref="F29" r:id="rId10" xr:uid="{00000000-0004-0000-0000-000009000000}"/>
    <hyperlink ref="F30" r:id="rId11" xr:uid="{00000000-0004-0000-0000-00000A000000}"/>
    <hyperlink ref="F31" r:id="rId12" xr:uid="{00000000-0004-0000-0000-00000B000000}"/>
    <hyperlink ref="F32" r:id="rId13" display="mailto:hsj@heungkuksec.co.kr" xr:uid="{00000000-0004-0000-0000-00000C000000}"/>
    <hyperlink ref="F13" r:id="rId14" xr:uid="{CC52246F-6E7D-44B0-8C33-1AAB57DA6F07}"/>
    <hyperlink ref="F14" r:id="rId15" xr:uid="{D75A13E7-EB47-4B22-B6EC-5DBD6C1BE56A}"/>
    <hyperlink ref="F15" r:id="rId16" xr:uid="{75A63A29-1306-4AA7-B179-329283B45E91}"/>
    <hyperlink ref="F21" r:id="rId17" xr:uid="{13461641-2958-44BF-91C6-09B34B6FBBEF}"/>
  </hyperlinks>
  <pageMargins left="0.75" right="0.75" top="1" bottom="1" header="0.511811023622047" footer="0.511811023622047"/>
  <pageSetup paperSize="9" orientation="portrait" horizontalDpi="300" verticalDpi="300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미팅 현황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Young jin Choi</cp:lastModifiedBy>
  <cp:revision>0</cp:revision>
  <dcterms:created xsi:type="dcterms:W3CDTF">2026-05-28T02:02:08Z</dcterms:created>
  <dcterms:modified xsi:type="dcterms:W3CDTF">2026-08-04T05:19:35Z</dcterms:modified>
  <cp:category/>
  <cp:contentStatus/>
</cp:coreProperties>
</file>